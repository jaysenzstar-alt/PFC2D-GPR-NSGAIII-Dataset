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10" windowHeight="149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<sst xmlns="http://schemas.openxmlformats.org/spreadsheetml/2006/main" count="150" uniqueCount="17">
  <si>
    <t xml:space="preserve"> 新增加取值内的测试</t>
  </si>
  <si>
    <t>序号</t>
  </si>
  <si>
    <t>pb_emod(GPa)</t>
  </si>
  <si>
    <t>pb_kra</t>
  </si>
  <si>
    <t>pb_ten(MPa)</t>
  </si>
  <si>
    <t>pb_coh(MPa)</t>
  </si>
  <si>
    <t>pb_fa(°）</t>
  </si>
  <si>
    <r>
      <rPr>
        <sz val="12"/>
        <color theme="1"/>
        <rFont val="宋体"/>
        <charset val="134"/>
      </rPr>
      <t>σ</t>
    </r>
    <r>
      <rPr>
        <sz val="12"/>
        <color theme="1"/>
        <rFont val="宋体"/>
        <charset val="134"/>
        <scheme val="minor"/>
      </rPr>
      <t>f/MPa</t>
    </r>
  </si>
  <si>
    <r>
      <rPr>
        <sz val="12"/>
        <color theme="1"/>
        <rFont val="Microsoft YaHei"/>
        <charset val="134"/>
      </rPr>
      <t>ε</t>
    </r>
    <r>
      <rPr>
        <sz val="12"/>
        <color theme="1"/>
        <rFont val="宋体"/>
        <charset val="134"/>
      </rPr>
      <t>f/10^-3</t>
    </r>
  </si>
  <si>
    <t>E/GPa</t>
  </si>
  <si>
    <t>v</t>
  </si>
  <si>
    <t>样本</t>
  </si>
  <si>
    <t>输入宏观参数</t>
  </si>
  <si>
    <t>输入细观参数</t>
  </si>
  <si>
    <t>模拟得出宏观参数</t>
  </si>
  <si>
    <t>MASE</t>
  </si>
  <si>
    <t>砂岩</t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</si>
</sst>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_ "/>
    <numFmt numFmtId="179" formatCode="0.0_ "/>
    <numFmt numFmtId="180" formatCode="0_);[Red]\(0\)"/>
    <numFmt numFmtId="181" formatCode="0.0000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Microsoft YaHei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3" fillId="0" borderId="1" xfId="49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49" fontId="3" fillId="0" borderId="1" xfId="49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1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NumberFormat="1" applyFont="1" applyFill="1" applyAlignment="1">
      <alignment vertical="center"/>
    </xf>
    <xf numFmtId="11" fontId="0" fillId="2" borderId="0" xfId="0" applyNumberFormat="1" applyFill="1" applyAlignment="1">
      <alignment vertical="center"/>
    </xf>
    <xf numFmtId="0" fontId="6" fillId="0" borderId="0" xfId="0" applyFont="1" applyFill="1" applyAlignment="1">
      <alignment vertical="center"/>
    </xf>
    <xf numFmtId="11" fontId="0" fillId="0" borderId="0" xfId="0" applyNumberFormat="1" applyFill="1" applyAlignment="1">
      <alignment vertical="center"/>
    </xf>
    <xf numFmtId="177" fontId="3" fillId="0" borderId="5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9389629810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4"/>
  <sheetViews>
    <sheetView tabSelected="1" workbookViewId="0">
      <selection activeCell="G131" sqref="G131"/>
    </sheetView>
  </sheetViews>
  <sheetFormatPr defaultColWidth="9" defaultRowHeight="13.5"/>
  <sheetData>
    <row r="1" spans="1:17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>
      <c r="A4" s="31"/>
      <c r="B4" s="32" t="s">
        <v>0</v>
      </c>
      <c r="C4" s="32"/>
      <c r="D4" s="32"/>
      <c r="E4" s="32"/>
      <c r="F4" s="32"/>
      <c r="G4" s="32"/>
      <c r="H4" s="32"/>
      <c r="I4" s="32"/>
      <c r="J4" s="32"/>
      <c r="K4" s="32"/>
      <c r="L4" s="31"/>
      <c r="M4" s="42"/>
      <c r="N4" s="31"/>
      <c r="O4" s="42"/>
      <c r="P4" s="31"/>
      <c r="Q4" s="31"/>
    </row>
    <row r="5" spans="1:17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6" ht="17.25" spans="1:17">
      <c r="A6" s="31"/>
      <c r="B6" s="31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3" t="s">
        <v>7</v>
      </c>
      <c r="I6" s="4" t="s">
        <v>8</v>
      </c>
      <c r="J6" s="5" t="s">
        <v>9</v>
      </c>
      <c r="K6" s="43" t="s">
        <v>10</v>
      </c>
      <c r="L6" s="31"/>
      <c r="M6" s="31"/>
      <c r="N6" s="31"/>
      <c r="O6" s="31"/>
      <c r="P6" s="31"/>
      <c r="Q6" s="31"/>
    </row>
    <row r="7" spans="1:17">
      <c r="A7" s="31"/>
      <c r="B7" s="31">
        <v>1</v>
      </c>
      <c r="C7" s="31">
        <v>23</v>
      </c>
      <c r="D7" s="31">
        <v>2.2</v>
      </c>
      <c r="E7" s="31">
        <v>69</v>
      </c>
      <c r="F7" s="31">
        <v>33</v>
      </c>
      <c r="G7" s="31">
        <v>41</v>
      </c>
      <c r="H7" s="33">
        <v>70</v>
      </c>
      <c r="I7" s="33">
        <v>2.82</v>
      </c>
      <c r="J7" s="31">
        <v>27</v>
      </c>
      <c r="K7" s="31">
        <v>0.31</v>
      </c>
      <c r="L7" s="31"/>
      <c r="M7" s="31"/>
      <c r="N7" s="31"/>
      <c r="O7" s="42"/>
      <c r="P7" s="33"/>
      <c r="Q7" s="31"/>
    </row>
    <row r="8" spans="1:17">
      <c r="A8" s="31"/>
      <c r="B8" s="31">
        <v>2</v>
      </c>
      <c r="C8" s="31">
        <v>54</v>
      </c>
      <c r="D8" s="31">
        <v>3</v>
      </c>
      <c r="E8" s="31">
        <v>18</v>
      </c>
      <c r="F8" s="31">
        <v>34</v>
      </c>
      <c r="G8" s="31">
        <v>59</v>
      </c>
      <c r="H8" s="33">
        <v>32</v>
      </c>
      <c r="I8" s="33">
        <v>0.78</v>
      </c>
      <c r="J8" s="31">
        <v>44</v>
      </c>
      <c r="K8" s="31">
        <v>0.4</v>
      </c>
      <c r="L8" s="31"/>
      <c r="M8" s="31"/>
      <c r="N8" s="31"/>
      <c r="O8" s="42"/>
      <c r="P8" s="33"/>
      <c r="Q8" s="31"/>
    </row>
    <row r="9" spans="1:17">
      <c r="A9" s="31"/>
      <c r="B9" s="31">
        <v>3</v>
      </c>
      <c r="C9" s="31">
        <v>17</v>
      </c>
      <c r="D9" s="31">
        <v>1.3</v>
      </c>
      <c r="E9" s="31">
        <v>16</v>
      </c>
      <c r="F9" s="31">
        <v>19</v>
      </c>
      <c r="G9" s="31">
        <v>16</v>
      </c>
      <c r="H9" s="33">
        <v>28</v>
      </c>
      <c r="I9" s="33">
        <v>1.22</v>
      </c>
      <c r="J9" s="31">
        <v>24</v>
      </c>
      <c r="K9" s="31">
        <v>0.24</v>
      </c>
      <c r="L9" s="31"/>
      <c r="M9" s="31"/>
      <c r="N9" s="31"/>
      <c r="O9" s="42"/>
      <c r="P9" s="33"/>
      <c r="Q9" s="31"/>
    </row>
    <row r="10" spans="1:17">
      <c r="A10" s="31"/>
      <c r="B10" s="31">
        <v>4</v>
      </c>
      <c r="C10" s="31">
        <v>72</v>
      </c>
      <c r="D10" s="31">
        <v>1.4</v>
      </c>
      <c r="E10" s="31">
        <v>78</v>
      </c>
      <c r="F10" s="31">
        <v>22</v>
      </c>
      <c r="G10" s="31">
        <v>69</v>
      </c>
      <c r="H10" s="33">
        <v>35</v>
      </c>
      <c r="I10" s="33">
        <v>0.65</v>
      </c>
      <c r="J10" s="31">
        <v>56</v>
      </c>
      <c r="K10" s="31">
        <v>0.25</v>
      </c>
      <c r="L10" s="31"/>
      <c r="M10" s="31"/>
      <c r="N10" s="31"/>
      <c r="O10" s="42"/>
      <c r="P10" s="33"/>
      <c r="Q10" s="31"/>
    </row>
    <row r="11" spans="1:17">
      <c r="A11" s="31"/>
      <c r="B11" s="31">
        <v>5</v>
      </c>
      <c r="C11" s="31">
        <v>37</v>
      </c>
      <c r="D11" s="31">
        <v>2</v>
      </c>
      <c r="E11" s="31">
        <v>48</v>
      </c>
      <c r="F11" s="31">
        <v>16</v>
      </c>
      <c r="G11" s="31">
        <v>36</v>
      </c>
      <c r="H11" s="33">
        <v>35</v>
      </c>
      <c r="I11" s="33">
        <v>0.99</v>
      </c>
      <c r="J11" s="31">
        <v>38</v>
      </c>
      <c r="K11" s="31">
        <v>0.32</v>
      </c>
      <c r="L11" s="31"/>
      <c r="M11" s="31"/>
      <c r="N11" s="31"/>
      <c r="O11" s="42"/>
      <c r="P11" s="33"/>
      <c r="Q11" s="31"/>
    </row>
    <row r="12" spans="1:17">
      <c r="A12" s="31"/>
      <c r="B12" s="31">
        <v>6</v>
      </c>
      <c r="C12" s="31">
        <v>28</v>
      </c>
      <c r="D12" s="31">
        <v>3</v>
      </c>
      <c r="E12" s="31">
        <v>28</v>
      </c>
      <c r="F12" s="31">
        <v>28</v>
      </c>
      <c r="G12" s="31">
        <v>28</v>
      </c>
      <c r="H12" s="33">
        <v>45</v>
      </c>
      <c r="I12" s="33">
        <v>1.61</v>
      </c>
      <c r="J12" s="31">
        <v>29</v>
      </c>
      <c r="K12" s="31">
        <v>0.38</v>
      </c>
      <c r="L12" s="31"/>
      <c r="M12" s="31"/>
      <c r="N12" s="31"/>
      <c r="O12" s="42"/>
      <c r="P12" s="33"/>
      <c r="Q12" s="31"/>
    </row>
    <row r="13" spans="1:17">
      <c r="A13" s="31"/>
      <c r="B13" s="31">
        <v>7</v>
      </c>
      <c r="C13" s="31">
        <v>41</v>
      </c>
      <c r="D13" s="31">
        <v>1</v>
      </c>
      <c r="E13" s="31">
        <v>16</v>
      </c>
      <c r="F13" s="31">
        <v>23</v>
      </c>
      <c r="G13" s="31">
        <v>34</v>
      </c>
      <c r="H13" s="33">
        <v>33</v>
      </c>
      <c r="I13" s="33">
        <v>0.78</v>
      </c>
      <c r="J13" s="31">
        <v>43</v>
      </c>
      <c r="K13" s="31">
        <v>0.18</v>
      </c>
      <c r="L13" s="31"/>
      <c r="M13" s="31"/>
      <c r="N13" s="31"/>
      <c r="O13" s="42"/>
      <c r="P13" s="33"/>
      <c r="Q13" s="31"/>
    </row>
    <row r="14" spans="1:17">
      <c r="A14" s="31"/>
      <c r="B14" s="31">
        <v>8</v>
      </c>
      <c r="C14" s="31">
        <v>42</v>
      </c>
      <c r="D14" s="31">
        <v>2.8</v>
      </c>
      <c r="E14" s="31">
        <v>56</v>
      </c>
      <c r="F14" s="31">
        <v>34</v>
      </c>
      <c r="G14" s="31">
        <v>71</v>
      </c>
      <c r="H14" s="33">
        <v>45</v>
      </c>
      <c r="I14" s="33">
        <v>1.29</v>
      </c>
      <c r="J14" s="31">
        <v>39</v>
      </c>
      <c r="K14" s="31">
        <v>0.39</v>
      </c>
      <c r="L14" s="31"/>
      <c r="M14" s="31"/>
      <c r="N14" s="31"/>
      <c r="O14" s="42"/>
      <c r="P14" s="33"/>
      <c r="Q14" s="31"/>
    </row>
    <row r="15" spans="1:17">
      <c r="A15" s="31"/>
      <c r="B15" s="31">
        <v>9</v>
      </c>
      <c r="C15" s="31">
        <v>19</v>
      </c>
      <c r="D15" s="31">
        <v>1.7</v>
      </c>
      <c r="E15" s="31">
        <v>87</v>
      </c>
      <c r="F15" s="31">
        <v>23</v>
      </c>
      <c r="G15" s="31">
        <v>62</v>
      </c>
      <c r="H15" s="33">
        <v>42</v>
      </c>
      <c r="I15" s="33">
        <v>2</v>
      </c>
      <c r="J15" s="31">
        <v>24</v>
      </c>
      <c r="K15" s="31">
        <v>0.28</v>
      </c>
      <c r="L15" s="31"/>
      <c r="M15" s="31"/>
      <c r="N15" s="31"/>
      <c r="O15" s="42"/>
      <c r="P15" s="33"/>
      <c r="Q15" s="31"/>
    </row>
    <row r="16" spans="1:17">
      <c r="A16" s="31"/>
      <c r="B16" s="31">
        <v>10</v>
      </c>
      <c r="C16" s="31">
        <v>70</v>
      </c>
      <c r="D16" s="31">
        <v>2</v>
      </c>
      <c r="E16" s="31">
        <v>38</v>
      </c>
      <c r="F16" s="31">
        <v>24</v>
      </c>
      <c r="G16" s="31">
        <v>56</v>
      </c>
      <c r="H16" s="33">
        <v>39</v>
      </c>
      <c r="I16" s="33">
        <v>0.84</v>
      </c>
      <c r="J16" s="31">
        <v>53</v>
      </c>
      <c r="K16" s="31">
        <v>0.31</v>
      </c>
      <c r="L16" s="31"/>
      <c r="M16" s="31"/>
      <c r="N16" s="31"/>
      <c r="O16" s="42"/>
      <c r="P16" s="33"/>
      <c r="Q16" s="31"/>
    </row>
    <row r="17" spans="1:17">
      <c r="A17" s="31"/>
      <c r="B17" s="31">
        <v>11</v>
      </c>
      <c r="C17" s="34">
        <v>40</v>
      </c>
      <c r="D17" s="34">
        <v>1.8</v>
      </c>
      <c r="E17" s="34">
        <v>80</v>
      </c>
      <c r="F17" s="34">
        <v>34</v>
      </c>
      <c r="G17" s="34">
        <v>70</v>
      </c>
      <c r="H17" s="34">
        <v>51</v>
      </c>
      <c r="I17" s="34">
        <v>1.46678598928221</v>
      </c>
      <c r="J17" s="34">
        <v>40</v>
      </c>
      <c r="K17" s="34">
        <v>0.29</v>
      </c>
      <c r="L17" s="34"/>
      <c r="M17" s="31"/>
      <c r="N17" s="31"/>
      <c r="O17" s="31"/>
      <c r="P17" s="31"/>
      <c r="Q17" s="31"/>
    </row>
    <row r="18" spans="1:17">
      <c r="A18" s="31"/>
      <c r="B18" s="31">
        <v>12</v>
      </c>
      <c r="C18" s="34">
        <v>24</v>
      </c>
      <c r="D18" s="34">
        <v>2.1</v>
      </c>
      <c r="E18" s="34">
        <v>57</v>
      </c>
      <c r="F18" s="34">
        <v>26</v>
      </c>
      <c r="G18" s="34">
        <v>23</v>
      </c>
      <c r="H18" s="34">
        <v>54.3502301910047</v>
      </c>
      <c r="I18" s="34">
        <v>2.2451284120291</v>
      </c>
      <c r="J18" s="34">
        <v>28</v>
      </c>
      <c r="K18" s="34">
        <v>0.31</v>
      </c>
      <c r="L18" s="34"/>
      <c r="M18" s="31"/>
      <c r="N18" s="31"/>
      <c r="O18" s="31"/>
      <c r="P18" s="31"/>
      <c r="Q18" s="31"/>
    </row>
    <row r="19" spans="1:17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r="20" spans="1:17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 spans="1:17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1:17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</row>
    <row r="23" spans="1:17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</row>
    <row r="24" spans="1:17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</row>
    <row r="25" spans="1:17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</row>
    <row r="26" spans="1:17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 spans="1:1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</row>
    <row r="28" spans="1:17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</row>
    <row r="29" spans="1:17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</row>
    <row r="30" ht="17.25" spans="1:17">
      <c r="A30" s="31"/>
      <c r="B30" s="35" t="s">
        <v>1</v>
      </c>
      <c r="C30" s="7" t="s">
        <v>2</v>
      </c>
      <c r="D30" s="7" t="s">
        <v>3</v>
      </c>
      <c r="E30" s="7" t="s">
        <v>4</v>
      </c>
      <c r="F30" s="7" t="s">
        <v>5</v>
      </c>
      <c r="G30" s="7" t="s">
        <v>6</v>
      </c>
      <c r="H30" s="3" t="s">
        <v>7</v>
      </c>
      <c r="I30" s="4" t="s">
        <v>8</v>
      </c>
      <c r="J30" s="5" t="s">
        <v>9</v>
      </c>
      <c r="K30" s="43" t="s">
        <v>10</v>
      </c>
      <c r="L30" s="31"/>
      <c r="M30" s="31"/>
      <c r="N30" s="31"/>
      <c r="O30" s="31"/>
      <c r="P30" s="31"/>
      <c r="Q30" s="31"/>
    </row>
    <row r="31" spans="1:17">
      <c r="A31" s="31"/>
      <c r="B31" s="36">
        <v>1</v>
      </c>
      <c r="C31" s="31">
        <v>23</v>
      </c>
      <c r="D31" s="31">
        <v>2.2</v>
      </c>
      <c r="E31" s="31">
        <v>69</v>
      </c>
      <c r="F31" s="31">
        <v>33</v>
      </c>
      <c r="G31" s="31">
        <v>41</v>
      </c>
      <c r="H31" s="33">
        <v>70</v>
      </c>
      <c r="I31" s="33">
        <v>2.82</v>
      </c>
      <c r="J31" s="31">
        <v>27</v>
      </c>
      <c r="K31" s="31">
        <v>0.31</v>
      </c>
      <c r="L31" s="31"/>
      <c r="M31" s="31"/>
      <c r="N31" s="37">
        <v>0.00289239654019468</v>
      </c>
      <c r="O31" s="37">
        <v>72.323479160401</v>
      </c>
      <c r="P31" s="31">
        <v>27</v>
      </c>
      <c r="Q31" s="31">
        <v>0.31</v>
      </c>
    </row>
    <row r="32" spans="1:17">
      <c r="A32" s="31"/>
      <c r="B32" s="31"/>
      <c r="C32" s="35">
        <v>23.47</v>
      </c>
      <c r="D32" s="35">
        <v>2.18</v>
      </c>
      <c r="E32" s="35">
        <v>68.74</v>
      </c>
      <c r="F32" s="35">
        <v>34.07</v>
      </c>
      <c r="G32" s="35">
        <v>35.31</v>
      </c>
      <c r="H32" s="37">
        <v>72.323479160401</v>
      </c>
      <c r="I32" s="37">
        <v>0.00289239654019468</v>
      </c>
      <c r="J32" s="31">
        <v>27</v>
      </c>
      <c r="K32" s="31">
        <v>0.31</v>
      </c>
      <c r="L32" s="31"/>
      <c r="M32" s="31"/>
      <c r="N32" s="31"/>
      <c r="O32" s="31"/>
      <c r="P32" s="31"/>
      <c r="Q32" s="31"/>
    </row>
    <row r="33" spans="1:17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</row>
    <row r="34" spans="1:17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</row>
    <row r="35" ht="17.25" spans="1:17">
      <c r="A35" s="31"/>
      <c r="B35" s="31" t="s">
        <v>1</v>
      </c>
      <c r="C35" s="7" t="s">
        <v>2</v>
      </c>
      <c r="D35" s="7" t="s">
        <v>3</v>
      </c>
      <c r="E35" s="7" t="s">
        <v>4</v>
      </c>
      <c r="F35" s="7" t="s">
        <v>5</v>
      </c>
      <c r="G35" s="7" t="s">
        <v>6</v>
      </c>
      <c r="H35" s="3" t="s">
        <v>7</v>
      </c>
      <c r="I35" s="4" t="s">
        <v>8</v>
      </c>
      <c r="J35" s="5" t="s">
        <v>9</v>
      </c>
      <c r="K35" s="43" t="s">
        <v>10</v>
      </c>
      <c r="L35" s="31"/>
      <c r="M35" s="31"/>
      <c r="N35" s="31"/>
      <c r="O35" s="31"/>
      <c r="P35" s="31"/>
      <c r="Q35" s="31"/>
    </row>
    <row r="36" spans="1:17">
      <c r="A36" s="31"/>
      <c r="B36" s="38">
        <v>2</v>
      </c>
      <c r="C36" s="38">
        <v>54</v>
      </c>
      <c r="D36" s="38">
        <v>3</v>
      </c>
      <c r="E36" s="38">
        <v>18</v>
      </c>
      <c r="F36" s="38">
        <v>34</v>
      </c>
      <c r="G36" s="38">
        <v>59</v>
      </c>
      <c r="H36" s="39">
        <v>32</v>
      </c>
      <c r="I36" s="39">
        <v>0.78</v>
      </c>
      <c r="J36" s="38">
        <v>44</v>
      </c>
      <c r="K36" s="38">
        <v>0.4</v>
      </c>
      <c r="L36" s="31"/>
      <c r="M36" s="31"/>
      <c r="N36" s="31"/>
      <c r="O36" s="31"/>
      <c r="P36" s="31"/>
      <c r="Q36" s="31"/>
    </row>
    <row r="37" spans="1:17">
      <c r="A37" s="31"/>
      <c r="B37" s="31"/>
      <c r="C37" s="35">
        <v>53.7</v>
      </c>
      <c r="D37" s="35">
        <v>3</v>
      </c>
      <c r="E37" s="35">
        <v>23.8</v>
      </c>
      <c r="F37" s="35">
        <v>22.43</v>
      </c>
      <c r="G37" s="35">
        <v>54.3</v>
      </c>
      <c r="H37" s="40">
        <v>34.0521529174686</v>
      </c>
      <c r="I37" s="40">
        <v>0.00079397251458522</v>
      </c>
      <c r="J37" s="31">
        <v>44</v>
      </c>
      <c r="K37" s="31">
        <v>0.39</v>
      </c>
      <c r="L37" s="31"/>
      <c r="M37" s="31"/>
      <c r="N37" s="40">
        <v>0.00079397251458522</v>
      </c>
      <c r="O37" s="40">
        <v>34.0521529174686</v>
      </c>
      <c r="P37" s="31">
        <v>44</v>
      </c>
      <c r="Q37" s="31">
        <v>0.39</v>
      </c>
    </row>
    <row r="38" spans="1:17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1:17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spans="1:17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ht="17.25" spans="1:17">
      <c r="A41" s="31"/>
      <c r="B41" s="31" t="s">
        <v>1</v>
      </c>
      <c r="C41" s="7" t="s">
        <v>2</v>
      </c>
      <c r="D41" s="7" t="s">
        <v>3</v>
      </c>
      <c r="E41" s="7" t="s">
        <v>4</v>
      </c>
      <c r="F41" s="7" t="s">
        <v>5</v>
      </c>
      <c r="G41" s="7" t="s">
        <v>6</v>
      </c>
      <c r="H41" s="3" t="s">
        <v>7</v>
      </c>
      <c r="I41" s="4" t="s">
        <v>8</v>
      </c>
      <c r="J41" s="5" t="s">
        <v>9</v>
      </c>
      <c r="K41" s="43" t="s">
        <v>10</v>
      </c>
      <c r="L41" s="31"/>
      <c r="M41" s="31"/>
      <c r="N41" s="31"/>
      <c r="O41" s="31"/>
      <c r="P41" s="31"/>
      <c r="Q41" s="31"/>
    </row>
    <row r="42" spans="1:17">
      <c r="A42" s="31"/>
      <c r="B42" s="31">
        <v>3</v>
      </c>
      <c r="C42" s="31">
        <v>17</v>
      </c>
      <c r="D42" s="31">
        <v>1.3</v>
      </c>
      <c r="E42" s="31">
        <v>16</v>
      </c>
      <c r="F42" s="31">
        <v>19</v>
      </c>
      <c r="G42" s="31">
        <v>16</v>
      </c>
      <c r="H42" s="33">
        <v>28</v>
      </c>
      <c r="I42" s="33">
        <v>1.22</v>
      </c>
      <c r="J42" s="31">
        <v>24</v>
      </c>
      <c r="K42" s="31">
        <v>0.24</v>
      </c>
      <c r="L42" s="31"/>
      <c r="M42" s="31"/>
      <c r="N42" s="40">
        <v>0.0011604245205324</v>
      </c>
      <c r="O42" s="40">
        <v>26.6505113638456</v>
      </c>
      <c r="P42" s="31">
        <v>24</v>
      </c>
      <c r="Q42" s="31">
        <v>0.24</v>
      </c>
    </row>
    <row r="43" spans="1:17">
      <c r="A43" s="31"/>
      <c r="B43" s="31"/>
      <c r="C43" s="35">
        <v>17</v>
      </c>
      <c r="D43" s="35">
        <v>1.3</v>
      </c>
      <c r="E43" s="35">
        <v>20</v>
      </c>
      <c r="F43" s="35">
        <v>17</v>
      </c>
      <c r="G43" s="35">
        <v>54</v>
      </c>
      <c r="H43" s="40">
        <v>26.6505113638456</v>
      </c>
      <c r="I43" s="40">
        <v>0.0011604245205324</v>
      </c>
      <c r="J43" s="31">
        <v>24</v>
      </c>
      <c r="K43" s="31">
        <v>0.24</v>
      </c>
      <c r="L43" s="31"/>
      <c r="M43" s="31"/>
      <c r="N43" s="31"/>
      <c r="O43" s="31"/>
      <c r="P43" s="31"/>
      <c r="Q43" s="31"/>
    </row>
    <row r="44" spans="1:17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17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17">
      <c r="A46" s="31"/>
      <c r="B46" s="4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ht="17.25" spans="1:17">
      <c r="A47" s="31"/>
      <c r="B47" s="31" t="s">
        <v>1</v>
      </c>
      <c r="C47" s="7" t="s">
        <v>2</v>
      </c>
      <c r="D47" s="7" t="s">
        <v>3</v>
      </c>
      <c r="E47" s="7" t="s">
        <v>4</v>
      </c>
      <c r="F47" s="7" t="s">
        <v>5</v>
      </c>
      <c r="G47" s="7" t="s">
        <v>6</v>
      </c>
      <c r="H47" s="3" t="s">
        <v>7</v>
      </c>
      <c r="I47" s="4" t="s">
        <v>8</v>
      </c>
      <c r="J47" s="5" t="s">
        <v>9</v>
      </c>
      <c r="K47" s="43" t="s">
        <v>10</v>
      </c>
      <c r="L47" s="31"/>
      <c r="M47" s="31"/>
      <c r="N47" s="31"/>
      <c r="O47" s="31"/>
      <c r="P47" s="31"/>
      <c r="Q47" s="31"/>
    </row>
    <row r="48" spans="1:17">
      <c r="A48" s="31"/>
      <c r="B48" s="35">
        <v>4</v>
      </c>
      <c r="C48" s="31">
        <v>72</v>
      </c>
      <c r="D48" s="31">
        <v>1.4</v>
      </c>
      <c r="E48" s="31">
        <v>78</v>
      </c>
      <c r="F48" s="31">
        <v>22</v>
      </c>
      <c r="G48" s="31">
        <v>69</v>
      </c>
      <c r="H48" s="33">
        <v>35</v>
      </c>
      <c r="I48" s="33">
        <v>0.65</v>
      </c>
      <c r="J48" s="31">
        <v>56</v>
      </c>
      <c r="K48" s="31">
        <v>0.25</v>
      </c>
      <c r="L48" s="31"/>
      <c r="M48" s="31"/>
      <c r="N48" s="40">
        <v>0.000625845918988067</v>
      </c>
      <c r="O48" s="40">
        <v>34.1510818396573</v>
      </c>
      <c r="P48" s="31">
        <v>55</v>
      </c>
      <c r="Q48" s="31">
        <v>0.25</v>
      </c>
    </row>
    <row r="49" spans="1:17">
      <c r="A49" s="31"/>
      <c r="B49" s="31"/>
      <c r="C49" s="31">
        <v>74</v>
      </c>
      <c r="D49" s="31">
        <v>1.4</v>
      </c>
      <c r="E49" s="31">
        <v>41</v>
      </c>
      <c r="F49" s="31">
        <v>22</v>
      </c>
      <c r="G49" s="31">
        <v>66</v>
      </c>
      <c r="H49" s="40">
        <v>34.1510818396573</v>
      </c>
      <c r="I49" s="40">
        <v>0.000625845918988067</v>
      </c>
      <c r="J49" s="31">
        <v>55</v>
      </c>
      <c r="K49" s="31">
        <v>0.25</v>
      </c>
      <c r="L49" s="31"/>
      <c r="M49" s="31"/>
      <c r="N49" s="31"/>
      <c r="O49" s="31"/>
      <c r="P49" s="31"/>
      <c r="Q49" s="31"/>
    </row>
    <row r="50" spans="1:17">
      <c r="A50" s="31"/>
      <c r="B50" s="31"/>
      <c r="C50" s="35">
        <v>72</v>
      </c>
      <c r="D50" s="35">
        <v>1.4</v>
      </c>
      <c r="E50" s="35">
        <v>60</v>
      </c>
      <c r="F50" s="35">
        <v>19</v>
      </c>
      <c r="G50" s="35">
        <v>54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1:17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1:17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1:17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ht="17.25" spans="1:17">
      <c r="A54" s="31"/>
      <c r="B54" s="31" t="s">
        <v>1</v>
      </c>
      <c r="C54" s="7" t="s">
        <v>2</v>
      </c>
      <c r="D54" s="7" t="s">
        <v>3</v>
      </c>
      <c r="E54" s="7" t="s">
        <v>4</v>
      </c>
      <c r="F54" s="7" t="s">
        <v>5</v>
      </c>
      <c r="G54" s="7" t="s">
        <v>6</v>
      </c>
      <c r="H54" s="3" t="s">
        <v>7</v>
      </c>
      <c r="I54" s="4" t="s">
        <v>8</v>
      </c>
      <c r="J54" s="5" t="s">
        <v>9</v>
      </c>
      <c r="K54" s="43" t="s">
        <v>10</v>
      </c>
      <c r="L54" s="31"/>
      <c r="M54" s="31"/>
      <c r="N54" s="31"/>
      <c r="O54" s="31"/>
      <c r="P54" s="31"/>
      <c r="Q54" s="31"/>
    </row>
    <row r="55" spans="1:17">
      <c r="A55" s="31"/>
      <c r="B55" s="35">
        <v>5</v>
      </c>
      <c r="C55" s="31">
        <v>37</v>
      </c>
      <c r="D55" s="31">
        <v>2</v>
      </c>
      <c r="E55" s="31">
        <v>48</v>
      </c>
      <c r="F55" s="31">
        <v>16</v>
      </c>
      <c r="G55" s="31">
        <v>36</v>
      </c>
      <c r="H55" s="33">
        <v>35</v>
      </c>
      <c r="I55" s="33">
        <v>0.99</v>
      </c>
      <c r="J55" s="31">
        <v>38</v>
      </c>
      <c r="K55" s="31">
        <v>0.32</v>
      </c>
      <c r="L55" s="31"/>
      <c r="M55" s="31"/>
      <c r="N55" s="40">
        <v>0.000940513765893605</v>
      </c>
      <c r="O55" s="40">
        <v>32.9517917035968</v>
      </c>
      <c r="P55" s="31">
        <v>38</v>
      </c>
      <c r="Q55" s="31">
        <v>0.32</v>
      </c>
    </row>
    <row r="56" spans="1:17">
      <c r="A56" s="31"/>
      <c r="B56" s="31"/>
      <c r="C56" s="35">
        <v>37</v>
      </c>
      <c r="D56" s="35">
        <v>2</v>
      </c>
      <c r="E56" s="35">
        <v>41</v>
      </c>
      <c r="F56" s="35">
        <v>16</v>
      </c>
      <c r="G56" s="35">
        <v>44</v>
      </c>
      <c r="H56" s="40">
        <v>32.9517917035968</v>
      </c>
      <c r="I56" s="40">
        <v>0.000940513765893605</v>
      </c>
      <c r="J56" s="31">
        <v>38</v>
      </c>
      <c r="K56" s="31">
        <v>0.32</v>
      </c>
      <c r="L56" s="31"/>
      <c r="M56" s="31"/>
      <c r="N56" s="31"/>
      <c r="O56" s="31"/>
      <c r="P56" s="31"/>
      <c r="Q56" s="31"/>
    </row>
    <row r="57" spans="1:17">
      <c r="A57" s="31"/>
      <c r="B57" s="31"/>
      <c r="C57" s="31">
        <v>37</v>
      </c>
      <c r="D57" s="31">
        <v>2</v>
      </c>
      <c r="E57" s="31">
        <v>47</v>
      </c>
      <c r="F57" s="31">
        <v>18</v>
      </c>
      <c r="G57" s="31">
        <v>54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1:17">
      <c r="A58" s="31"/>
      <c r="B58" s="31"/>
      <c r="C58" s="31">
        <v>37</v>
      </c>
      <c r="D58" s="31">
        <v>2</v>
      </c>
      <c r="E58" s="31">
        <v>37</v>
      </c>
      <c r="F58" s="31">
        <v>17</v>
      </c>
      <c r="G58" s="31">
        <v>41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1:17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1:17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ht="17.25" spans="1:17">
      <c r="A61" s="31"/>
      <c r="B61" s="31" t="s">
        <v>1</v>
      </c>
      <c r="C61" s="7" t="s">
        <v>2</v>
      </c>
      <c r="D61" s="7" t="s">
        <v>3</v>
      </c>
      <c r="E61" s="7" t="s">
        <v>4</v>
      </c>
      <c r="F61" s="7" t="s">
        <v>5</v>
      </c>
      <c r="G61" s="7" t="s">
        <v>6</v>
      </c>
      <c r="H61" s="3" t="s">
        <v>7</v>
      </c>
      <c r="I61" s="4" t="s">
        <v>8</v>
      </c>
      <c r="J61" s="5" t="s">
        <v>9</v>
      </c>
      <c r="K61" s="43" t="s">
        <v>10</v>
      </c>
      <c r="L61" s="31"/>
      <c r="M61" s="31"/>
      <c r="N61" s="31"/>
      <c r="O61" s="31"/>
      <c r="P61" s="31"/>
      <c r="Q61" s="31"/>
    </row>
    <row r="62" spans="1:17">
      <c r="A62" s="31"/>
      <c r="B62" s="31">
        <v>6</v>
      </c>
      <c r="C62" s="31">
        <v>28</v>
      </c>
      <c r="D62" s="31">
        <v>3</v>
      </c>
      <c r="E62" s="31">
        <v>28</v>
      </c>
      <c r="F62" s="31">
        <v>28</v>
      </c>
      <c r="G62" s="31">
        <v>28</v>
      </c>
      <c r="H62" s="33">
        <v>45</v>
      </c>
      <c r="I62" s="33">
        <v>1.61</v>
      </c>
      <c r="J62" s="31">
        <v>29</v>
      </c>
      <c r="K62" s="31">
        <v>0.38</v>
      </c>
      <c r="L62" s="31"/>
      <c r="M62" s="31"/>
      <c r="N62" s="40">
        <v>0.00143163082019821</v>
      </c>
      <c r="O62" s="40">
        <v>40.7514159353414</v>
      </c>
      <c r="P62" s="31">
        <v>30</v>
      </c>
      <c r="Q62" s="31">
        <v>0.39</v>
      </c>
    </row>
    <row r="63" spans="1:17">
      <c r="A63" s="31"/>
      <c r="B63" s="31"/>
      <c r="C63" s="35">
        <v>29</v>
      </c>
      <c r="D63" s="35">
        <v>3</v>
      </c>
      <c r="E63" s="35">
        <v>52</v>
      </c>
      <c r="F63" s="35">
        <v>23</v>
      </c>
      <c r="G63" s="35">
        <v>51</v>
      </c>
      <c r="H63" s="40">
        <v>40.7514159353414</v>
      </c>
      <c r="I63" s="40">
        <v>0.00143163082019821</v>
      </c>
      <c r="J63" s="31">
        <v>30</v>
      </c>
      <c r="K63" s="31">
        <v>0.39</v>
      </c>
      <c r="L63" s="31"/>
      <c r="M63" s="31"/>
      <c r="N63" s="31"/>
      <c r="O63" s="31"/>
      <c r="P63" s="31"/>
      <c r="Q63" s="31"/>
    </row>
    <row r="64" spans="1:17">
      <c r="A64" s="31"/>
      <c r="B64" s="31"/>
      <c r="C64" s="31">
        <v>28</v>
      </c>
      <c r="D64" s="31">
        <v>3</v>
      </c>
      <c r="E64" s="31">
        <v>45</v>
      </c>
      <c r="F64" s="31">
        <v>25</v>
      </c>
      <c r="G64" s="31">
        <v>58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1:17">
      <c r="A65" s="31"/>
      <c r="B65" s="31"/>
      <c r="C65" s="31">
        <v>28</v>
      </c>
      <c r="D65" s="31">
        <v>3</v>
      </c>
      <c r="E65" s="31">
        <v>42</v>
      </c>
      <c r="F65" s="31">
        <v>25</v>
      </c>
      <c r="G65" s="31">
        <v>57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1:17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1:1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1:17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1:17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1:17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ht="17.25" spans="1:17">
      <c r="A71" s="31"/>
      <c r="B71" s="31" t="s">
        <v>1</v>
      </c>
      <c r="C71" s="7" t="s">
        <v>2</v>
      </c>
      <c r="D71" s="7" t="s">
        <v>3</v>
      </c>
      <c r="E71" s="7" t="s">
        <v>4</v>
      </c>
      <c r="F71" s="7" t="s">
        <v>5</v>
      </c>
      <c r="G71" s="7" t="s">
        <v>6</v>
      </c>
      <c r="H71" s="3" t="s">
        <v>7</v>
      </c>
      <c r="I71" s="4" t="s">
        <v>8</v>
      </c>
      <c r="J71" s="5" t="s">
        <v>9</v>
      </c>
      <c r="K71" s="43" t="s">
        <v>10</v>
      </c>
      <c r="L71" s="31"/>
      <c r="M71" s="31"/>
      <c r="N71" s="31"/>
      <c r="O71" s="31"/>
      <c r="P71" s="31"/>
      <c r="Q71" s="31"/>
    </row>
    <row r="72" spans="1:17">
      <c r="A72" s="31"/>
      <c r="B72" s="31">
        <v>7</v>
      </c>
      <c r="C72" s="31">
        <v>41</v>
      </c>
      <c r="D72" s="31">
        <v>1</v>
      </c>
      <c r="E72" s="31">
        <v>16</v>
      </c>
      <c r="F72" s="31">
        <v>23</v>
      </c>
      <c r="G72" s="31">
        <v>34</v>
      </c>
      <c r="H72" s="33">
        <v>33</v>
      </c>
      <c r="I72" s="33">
        <v>0.78</v>
      </c>
      <c r="J72" s="31">
        <v>43</v>
      </c>
      <c r="K72" s="31">
        <v>0.18</v>
      </c>
      <c r="L72" s="31"/>
      <c r="M72" s="31"/>
      <c r="N72" s="40">
        <v>0.000832642275750831</v>
      </c>
      <c r="O72" s="40">
        <v>35.2515880335357</v>
      </c>
      <c r="P72" s="31">
        <v>43</v>
      </c>
      <c r="Q72" s="31">
        <v>0.18</v>
      </c>
    </row>
    <row r="73" spans="1:17">
      <c r="A73" s="31"/>
      <c r="B73" s="31"/>
      <c r="C73" s="35">
        <v>41</v>
      </c>
      <c r="D73" s="35">
        <v>1</v>
      </c>
      <c r="E73" s="35">
        <v>19</v>
      </c>
      <c r="F73" s="35">
        <v>24</v>
      </c>
      <c r="G73" s="35">
        <v>55</v>
      </c>
      <c r="H73" s="40">
        <v>35.2515880335357</v>
      </c>
      <c r="I73" s="40">
        <v>0.000832642275750831</v>
      </c>
      <c r="J73" s="31">
        <v>43</v>
      </c>
      <c r="K73" s="31">
        <v>0.18</v>
      </c>
      <c r="L73" s="31"/>
      <c r="M73" s="31"/>
      <c r="N73" s="31"/>
      <c r="O73" s="31"/>
      <c r="P73" s="31"/>
      <c r="Q73" s="31"/>
    </row>
    <row r="74" spans="1:17">
      <c r="A74" s="31"/>
      <c r="B74" s="31"/>
      <c r="C74" s="31">
        <v>41</v>
      </c>
      <c r="D74" s="31">
        <v>1</v>
      </c>
      <c r="E74" s="31">
        <v>23</v>
      </c>
      <c r="F74" s="31">
        <v>25</v>
      </c>
      <c r="G74" s="31">
        <v>63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1:17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1:17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1:1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1:17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1:17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1:17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ht="17.25" spans="1:17">
      <c r="A81" s="31"/>
      <c r="B81" s="31" t="s">
        <v>1</v>
      </c>
      <c r="C81" s="7" t="s">
        <v>2</v>
      </c>
      <c r="D81" s="7" t="s">
        <v>3</v>
      </c>
      <c r="E81" s="7" t="s">
        <v>4</v>
      </c>
      <c r="F81" s="7" t="s">
        <v>5</v>
      </c>
      <c r="G81" s="7" t="s">
        <v>6</v>
      </c>
      <c r="H81" s="3" t="s">
        <v>7</v>
      </c>
      <c r="I81" s="4" t="s">
        <v>8</v>
      </c>
      <c r="J81" s="5" t="s">
        <v>9</v>
      </c>
      <c r="K81" s="43" t="s">
        <v>10</v>
      </c>
      <c r="L81" s="31"/>
      <c r="M81" s="31"/>
      <c r="N81" s="31"/>
      <c r="O81" s="31"/>
      <c r="P81" s="31"/>
      <c r="Q81" s="31"/>
    </row>
    <row r="82" spans="1:17">
      <c r="A82" s="31"/>
      <c r="B82" s="31">
        <v>8</v>
      </c>
      <c r="C82" s="31">
        <v>42</v>
      </c>
      <c r="D82" s="31">
        <v>2.8</v>
      </c>
      <c r="E82" s="31">
        <v>56</v>
      </c>
      <c r="F82" s="31">
        <v>34</v>
      </c>
      <c r="G82" s="31">
        <v>71</v>
      </c>
      <c r="H82" s="33">
        <v>45</v>
      </c>
      <c r="I82" s="33">
        <v>1.29</v>
      </c>
      <c r="J82" s="31">
        <v>39</v>
      </c>
      <c r="K82" s="31">
        <v>0.39</v>
      </c>
      <c r="L82" s="31"/>
      <c r="M82" s="31"/>
      <c r="N82" s="40">
        <v>0.00137336429057574</v>
      </c>
      <c r="O82" s="40">
        <v>46.7516285561259</v>
      </c>
      <c r="P82" s="31">
        <v>39</v>
      </c>
      <c r="Q82" s="31">
        <v>0.38</v>
      </c>
    </row>
    <row r="83" spans="1:17">
      <c r="A83" s="31"/>
      <c r="B83" s="31"/>
      <c r="C83" s="31">
        <v>43</v>
      </c>
      <c r="D83" s="31">
        <v>3</v>
      </c>
      <c r="E83" s="31">
        <v>48</v>
      </c>
      <c r="F83" s="31">
        <v>21</v>
      </c>
      <c r="G83" s="31">
        <v>31</v>
      </c>
      <c r="H83" s="31"/>
      <c r="I83" s="31"/>
      <c r="J83" s="31">
        <v>39</v>
      </c>
      <c r="K83" s="31">
        <v>0.38</v>
      </c>
      <c r="L83" s="31"/>
      <c r="M83" s="31"/>
      <c r="N83" s="31"/>
      <c r="O83" s="31"/>
      <c r="P83" s="31"/>
      <c r="Q83" s="31"/>
    </row>
    <row r="84" spans="1:17">
      <c r="A84" s="31"/>
      <c r="B84" s="31"/>
      <c r="C84" s="35">
        <v>43</v>
      </c>
      <c r="D84" s="35">
        <v>3</v>
      </c>
      <c r="E84" s="35">
        <v>58</v>
      </c>
      <c r="F84" s="35">
        <v>22</v>
      </c>
      <c r="G84" s="35">
        <v>43</v>
      </c>
      <c r="H84" s="40">
        <v>46.7516285561259</v>
      </c>
      <c r="I84" s="40">
        <v>0.00137336429057574</v>
      </c>
      <c r="J84" s="31">
        <v>39</v>
      </c>
      <c r="K84" s="31">
        <v>0.38</v>
      </c>
      <c r="L84" s="31"/>
      <c r="M84" s="31"/>
      <c r="N84" s="31"/>
      <c r="O84" s="31"/>
      <c r="P84" s="31"/>
      <c r="Q84" s="31"/>
    </row>
    <row r="85" spans="1:17">
      <c r="A85" s="31"/>
      <c r="B85" s="31"/>
      <c r="C85" s="31">
        <v>43</v>
      </c>
      <c r="D85" s="31">
        <v>3</v>
      </c>
      <c r="E85" s="31">
        <v>55</v>
      </c>
      <c r="F85" s="31">
        <v>22</v>
      </c>
      <c r="G85" s="31">
        <v>44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1:17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1:1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spans="1:17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1:17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ht="17.25" spans="1:17">
      <c r="A90" s="31"/>
      <c r="B90" s="31" t="s">
        <v>1</v>
      </c>
      <c r="C90" s="7" t="s">
        <v>2</v>
      </c>
      <c r="D90" s="7" t="s">
        <v>3</v>
      </c>
      <c r="E90" s="7" t="s">
        <v>4</v>
      </c>
      <c r="F90" s="7" t="s">
        <v>5</v>
      </c>
      <c r="G90" s="7" t="s">
        <v>6</v>
      </c>
      <c r="H90" s="3" t="s">
        <v>7</v>
      </c>
      <c r="I90" s="4" t="s">
        <v>8</v>
      </c>
      <c r="J90" s="5" t="s">
        <v>9</v>
      </c>
      <c r="K90" s="43" t="s">
        <v>10</v>
      </c>
      <c r="L90" s="31"/>
      <c r="M90" s="31"/>
      <c r="N90" s="31"/>
      <c r="O90" s="31"/>
      <c r="P90" s="31"/>
      <c r="Q90" s="31"/>
    </row>
    <row r="91" spans="1:17">
      <c r="A91" s="31"/>
      <c r="B91" s="31">
        <v>9</v>
      </c>
      <c r="C91" s="31">
        <v>19</v>
      </c>
      <c r="D91" s="31">
        <v>1.7</v>
      </c>
      <c r="E91" s="31">
        <v>87</v>
      </c>
      <c r="F91" s="31">
        <v>23</v>
      </c>
      <c r="G91" s="31">
        <v>62</v>
      </c>
      <c r="H91" s="33">
        <v>42</v>
      </c>
      <c r="I91" s="33">
        <v>2</v>
      </c>
      <c r="J91" s="31">
        <v>24</v>
      </c>
      <c r="K91" s="31">
        <v>0.28</v>
      </c>
      <c r="L91" s="31"/>
      <c r="M91" s="31"/>
      <c r="N91" s="40">
        <v>0.00183372583010047</v>
      </c>
      <c r="O91" s="40">
        <v>39.3515549413366</v>
      </c>
      <c r="P91" s="31">
        <v>23</v>
      </c>
      <c r="Q91" s="31">
        <v>0.28</v>
      </c>
    </row>
    <row r="92" spans="1:17">
      <c r="A92" s="31"/>
      <c r="B92" s="31"/>
      <c r="C92" s="31">
        <v>18</v>
      </c>
      <c r="D92" s="31">
        <v>1.7</v>
      </c>
      <c r="E92" s="31">
        <v>46</v>
      </c>
      <c r="F92" s="31">
        <v>22</v>
      </c>
      <c r="G92" s="31">
        <v>18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spans="1:17">
      <c r="A93" s="31"/>
      <c r="B93" s="31"/>
      <c r="C93" s="31">
        <v>18</v>
      </c>
      <c r="D93" s="31">
        <v>1.7</v>
      </c>
      <c r="E93" s="31">
        <v>89</v>
      </c>
      <c r="F93" s="31">
        <v>20</v>
      </c>
      <c r="G93" s="31">
        <v>36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</row>
    <row r="94" spans="1:17">
      <c r="A94" s="31"/>
      <c r="B94" s="31"/>
      <c r="C94" s="35">
        <v>18</v>
      </c>
      <c r="D94" s="35">
        <v>1.7</v>
      </c>
      <c r="E94" s="35">
        <v>74</v>
      </c>
      <c r="F94" s="35">
        <v>21</v>
      </c>
      <c r="G94" s="35">
        <v>57</v>
      </c>
      <c r="H94" s="40">
        <v>39.3515549413366</v>
      </c>
      <c r="I94" s="40">
        <v>0.00183372583010047</v>
      </c>
      <c r="J94" s="31">
        <v>23</v>
      </c>
      <c r="K94" s="31">
        <v>0.28</v>
      </c>
      <c r="L94" s="31"/>
      <c r="M94" s="31"/>
      <c r="N94" s="31"/>
      <c r="O94" s="31"/>
      <c r="P94" s="31"/>
      <c r="Q94" s="31"/>
    </row>
    <row r="95" spans="1:17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spans="1:17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</row>
    <row r="97" spans="1:1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ht="17.25" spans="1:17">
      <c r="A98" s="31"/>
      <c r="B98" s="31" t="s">
        <v>1</v>
      </c>
      <c r="C98" s="7" t="s">
        <v>2</v>
      </c>
      <c r="D98" s="7" t="s">
        <v>3</v>
      </c>
      <c r="E98" s="7" t="s">
        <v>4</v>
      </c>
      <c r="F98" s="7" t="s">
        <v>5</v>
      </c>
      <c r="G98" s="7" t="s">
        <v>6</v>
      </c>
      <c r="H98" s="3" t="s">
        <v>7</v>
      </c>
      <c r="I98" s="4" t="s">
        <v>8</v>
      </c>
      <c r="J98" s="5" t="s">
        <v>9</v>
      </c>
      <c r="K98" s="43" t="s">
        <v>10</v>
      </c>
      <c r="L98" s="31"/>
      <c r="M98" s="31"/>
      <c r="N98" s="31"/>
      <c r="O98" s="31"/>
      <c r="P98" s="31"/>
      <c r="Q98" s="31"/>
    </row>
    <row r="99" spans="1:17">
      <c r="A99" s="31"/>
      <c r="B99" s="31">
        <v>10</v>
      </c>
      <c r="C99" s="31">
        <v>70</v>
      </c>
      <c r="D99" s="31">
        <v>2</v>
      </c>
      <c r="E99" s="31">
        <v>38</v>
      </c>
      <c r="F99" s="31">
        <v>24</v>
      </c>
      <c r="G99" s="31">
        <v>56</v>
      </c>
      <c r="H99" s="33">
        <v>39</v>
      </c>
      <c r="I99" s="33">
        <v>0.84</v>
      </c>
      <c r="J99" s="31">
        <v>53</v>
      </c>
      <c r="K99" s="31">
        <v>0.31</v>
      </c>
      <c r="L99" s="31"/>
      <c r="M99" s="31"/>
      <c r="N99" s="40">
        <v>0.000825647906742915</v>
      </c>
      <c r="O99" s="40">
        <v>39.2526780954321</v>
      </c>
      <c r="P99" s="31">
        <v>54</v>
      </c>
      <c r="Q99" s="31">
        <v>0.29</v>
      </c>
    </row>
    <row r="100" spans="1:17">
      <c r="A100" s="31"/>
      <c r="B100" s="31"/>
      <c r="C100" s="31">
        <v>76</v>
      </c>
      <c r="D100" s="31">
        <v>1.8</v>
      </c>
      <c r="E100" s="31">
        <v>51</v>
      </c>
      <c r="F100" s="31">
        <v>19</v>
      </c>
      <c r="G100" s="31">
        <v>19</v>
      </c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spans="1:17">
      <c r="A101" s="31"/>
      <c r="B101" s="31"/>
      <c r="C101" s="31">
        <v>67</v>
      </c>
      <c r="D101" s="31">
        <v>1.8</v>
      </c>
      <c r="E101" s="31">
        <v>60</v>
      </c>
      <c r="F101" s="31">
        <v>19</v>
      </c>
      <c r="G101" s="31">
        <v>34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</row>
    <row r="102" spans="1:17">
      <c r="A102" s="31"/>
      <c r="B102" s="31"/>
      <c r="C102" s="31">
        <v>69</v>
      </c>
      <c r="D102" s="31">
        <v>1.8</v>
      </c>
      <c r="E102" s="31">
        <v>118</v>
      </c>
      <c r="F102" s="31">
        <v>24</v>
      </c>
      <c r="G102" s="31">
        <v>69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</row>
    <row r="103" spans="1:17">
      <c r="A103" s="31"/>
      <c r="B103" s="31"/>
      <c r="C103" s="35">
        <v>68</v>
      </c>
      <c r="D103" s="35">
        <v>1.8</v>
      </c>
      <c r="E103" s="35">
        <v>58</v>
      </c>
      <c r="F103" s="35">
        <v>19</v>
      </c>
      <c r="G103" s="35">
        <v>37</v>
      </c>
      <c r="H103" s="40">
        <v>39.2526780954321</v>
      </c>
      <c r="I103" s="40">
        <v>0.000825647906742915</v>
      </c>
      <c r="J103" s="31">
        <v>54</v>
      </c>
      <c r="K103" s="31">
        <v>0.29</v>
      </c>
      <c r="L103" s="31"/>
      <c r="M103" s="31"/>
      <c r="N103" s="31"/>
      <c r="O103" s="31"/>
      <c r="P103" s="31"/>
      <c r="Q103" s="31"/>
    </row>
    <row r="104" spans="1:17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</row>
    <row r="105" spans="1:17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</row>
    <row r="106" spans="1:17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</row>
    <row r="107" spans="1:1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</row>
    <row r="108" spans="1:17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</row>
    <row r="109" spans="1:17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</row>
    <row r="110" spans="1:17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</row>
    <row r="111" ht="17.25" spans="1:17">
      <c r="A111" s="31"/>
      <c r="B111" s="31" t="s">
        <v>1</v>
      </c>
      <c r="C111" s="7" t="s">
        <v>2</v>
      </c>
      <c r="D111" s="7" t="s">
        <v>3</v>
      </c>
      <c r="E111" s="7" t="s">
        <v>4</v>
      </c>
      <c r="F111" s="7" t="s">
        <v>5</v>
      </c>
      <c r="G111" s="7" t="s">
        <v>6</v>
      </c>
      <c r="H111" s="3" t="s">
        <v>7</v>
      </c>
      <c r="I111" s="4" t="s">
        <v>8</v>
      </c>
      <c r="J111" s="5" t="s">
        <v>9</v>
      </c>
      <c r="K111" s="43" t="s">
        <v>10</v>
      </c>
      <c r="L111" s="31"/>
      <c r="M111" s="31"/>
      <c r="N111" s="31"/>
      <c r="O111" s="31"/>
      <c r="P111" s="31"/>
      <c r="Q111" s="31"/>
    </row>
    <row r="112" spans="1:17">
      <c r="A112" s="31"/>
      <c r="B112" s="31">
        <v>11</v>
      </c>
      <c r="C112" s="34">
        <v>40</v>
      </c>
      <c r="D112" s="34">
        <v>1.8</v>
      </c>
      <c r="E112" s="34">
        <v>80</v>
      </c>
      <c r="F112" s="34">
        <v>34</v>
      </c>
      <c r="G112" s="34">
        <v>70</v>
      </c>
      <c r="H112" s="34">
        <v>51</v>
      </c>
      <c r="I112" s="34">
        <v>1.46678598928221</v>
      </c>
      <c r="J112" s="34">
        <v>40</v>
      </c>
      <c r="K112" s="34">
        <v>0.29</v>
      </c>
      <c r="L112" s="31"/>
      <c r="M112" s="31"/>
      <c r="N112" s="40">
        <v>0.00149103429220023</v>
      </c>
      <c r="O112" s="40">
        <v>51.3507493010848</v>
      </c>
      <c r="P112" s="31">
        <v>40</v>
      </c>
      <c r="Q112" s="31">
        <v>0.28</v>
      </c>
    </row>
    <row r="113" spans="1:17">
      <c r="A113" s="31"/>
      <c r="B113" s="31"/>
      <c r="C113" s="31">
        <v>40</v>
      </c>
      <c r="D113" s="31">
        <v>1.8</v>
      </c>
      <c r="E113" s="31">
        <v>61</v>
      </c>
      <c r="F113" s="31">
        <v>26</v>
      </c>
      <c r="G113" s="31">
        <v>22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</row>
    <row r="114" spans="1:17">
      <c r="A114" s="31"/>
      <c r="B114" s="31"/>
      <c r="C114" s="31">
        <v>40</v>
      </c>
      <c r="D114" s="31">
        <v>1.8</v>
      </c>
      <c r="E114" s="31">
        <v>67</v>
      </c>
      <c r="F114" s="31">
        <v>25</v>
      </c>
      <c r="G114" s="31">
        <v>24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</row>
    <row r="115" spans="1:17">
      <c r="A115" s="31"/>
      <c r="B115" s="31"/>
      <c r="C115" s="35">
        <v>40</v>
      </c>
      <c r="D115" s="35">
        <v>1.8</v>
      </c>
      <c r="E115" s="35">
        <v>68</v>
      </c>
      <c r="F115" s="35">
        <v>24</v>
      </c>
      <c r="G115" s="35">
        <v>24</v>
      </c>
      <c r="H115" s="40">
        <v>51.3507493010848</v>
      </c>
      <c r="I115" s="40">
        <v>0.00149103429220023</v>
      </c>
      <c r="J115" s="31">
        <v>40</v>
      </c>
      <c r="K115" s="31">
        <v>0.28</v>
      </c>
      <c r="L115" s="31"/>
      <c r="M115" s="31"/>
      <c r="N115" s="31"/>
      <c r="O115" s="31"/>
      <c r="P115" s="31"/>
      <c r="Q115" s="31"/>
    </row>
    <row r="116" spans="1:17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5"/>
      <c r="N116" s="31"/>
      <c r="O116" s="31"/>
      <c r="P116" s="31"/>
      <c r="Q116" s="31"/>
    </row>
    <row r="117" spans="1: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</row>
    <row r="118" spans="1:17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</row>
    <row r="119" spans="1:17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</row>
    <row r="120" spans="1:17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</row>
    <row r="121" spans="1:17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</row>
    <row r="122" spans="1:17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</row>
    <row r="123" ht="17.25" spans="1:17">
      <c r="A123" s="31"/>
      <c r="B123" s="31" t="s">
        <v>1</v>
      </c>
      <c r="C123" s="7" t="s">
        <v>2</v>
      </c>
      <c r="D123" s="7" t="s">
        <v>3</v>
      </c>
      <c r="E123" s="7" t="s">
        <v>4</v>
      </c>
      <c r="F123" s="7" t="s">
        <v>5</v>
      </c>
      <c r="G123" s="7" t="s">
        <v>6</v>
      </c>
      <c r="H123" s="3" t="s">
        <v>7</v>
      </c>
      <c r="I123" s="4" t="s">
        <v>8</v>
      </c>
      <c r="J123" s="5" t="s">
        <v>9</v>
      </c>
      <c r="K123" s="43" t="s">
        <v>10</v>
      </c>
      <c r="L123" s="31"/>
      <c r="M123" s="31"/>
      <c r="N123" s="31"/>
      <c r="O123" s="31"/>
      <c r="P123" s="31"/>
      <c r="Q123" s="31"/>
    </row>
    <row r="124" spans="1:17">
      <c r="A124" s="31"/>
      <c r="B124" s="31">
        <v>12</v>
      </c>
      <c r="C124" s="34">
        <v>24</v>
      </c>
      <c r="D124" s="34">
        <v>2.1</v>
      </c>
      <c r="E124" s="34">
        <v>57</v>
      </c>
      <c r="F124" s="34">
        <v>26</v>
      </c>
      <c r="G124" s="34">
        <v>23</v>
      </c>
      <c r="H124" s="34">
        <v>54.3502301910047</v>
      </c>
      <c r="I124" s="34">
        <v>2.2451284120291</v>
      </c>
      <c r="J124" s="34">
        <v>28</v>
      </c>
      <c r="K124" s="34">
        <v>0.31</v>
      </c>
      <c r="L124" s="31"/>
      <c r="M124" s="31"/>
      <c r="N124" s="40">
        <v>0.00229918897559797</v>
      </c>
      <c r="O124" s="40">
        <v>55.7509384467997</v>
      </c>
      <c r="P124" s="31">
        <v>28</v>
      </c>
      <c r="Q124" s="31">
        <v>0.31</v>
      </c>
    </row>
    <row r="125" spans="1:17">
      <c r="A125" s="31"/>
      <c r="B125" s="31"/>
      <c r="C125" s="31">
        <v>24</v>
      </c>
      <c r="D125" s="31">
        <v>2.1</v>
      </c>
      <c r="E125" s="31">
        <v>87</v>
      </c>
      <c r="F125" s="31">
        <v>25</v>
      </c>
      <c r="G125" s="31">
        <v>34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</row>
    <row r="126" spans="1:17">
      <c r="A126" s="31"/>
      <c r="B126" s="31"/>
      <c r="C126" s="31">
        <v>24</v>
      </c>
      <c r="D126" s="31">
        <v>2.1</v>
      </c>
      <c r="E126" s="31">
        <v>99</v>
      </c>
      <c r="F126" s="31">
        <v>26</v>
      </c>
      <c r="G126" s="31">
        <v>43</v>
      </c>
      <c r="H126" s="31"/>
      <c r="I126" s="31"/>
      <c r="J126" s="31"/>
      <c r="K126" s="31"/>
      <c r="L126" s="31"/>
      <c r="M126" s="35"/>
      <c r="N126" s="31"/>
      <c r="O126" s="31"/>
      <c r="P126" s="31"/>
      <c r="Q126" s="31"/>
    </row>
    <row r="127" spans="1:17">
      <c r="A127" s="31"/>
      <c r="B127" s="31"/>
      <c r="C127" s="35">
        <v>24</v>
      </c>
      <c r="D127" s="35">
        <v>2.1</v>
      </c>
      <c r="E127" s="35">
        <v>68</v>
      </c>
      <c r="F127" s="35">
        <v>26</v>
      </c>
      <c r="G127" s="35">
        <v>19</v>
      </c>
      <c r="H127" s="40">
        <v>55.7509384467997</v>
      </c>
      <c r="I127" s="40">
        <v>0.00229918897559797</v>
      </c>
      <c r="J127" s="31">
        <v>28</v>
      </c>
      <c r="K127" s="31">
        <v>0.31</v>
      </c>
      <c r="L127" s="31"/>
      <c r="M127" s="31"/>
      <c r="N127" s="31"/>
      <c r="O127" s="31"/>
      <c r="P127" s="31"/>
      <c r="Q127" s="31"/>
    </row>
    <row r="128" spans="1:17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5"/>
      <c r="N128" s="35"/>
      <c r="O128" s="35"/>
      <c r="P128" s="35"/>
      <c r="Q128" s="35"/>
    </row>
    <row r="129" spans="1:17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</row>
    <row r="130" spans="1:17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</row>
    <row r="131" spans="1:17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</row>
    <row r="132" spans="1:17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</row>
    <row r="133" spans="1:17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</row>
    <row r="134" spans="1:17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</row>
  </sheetData>
  <mergeCells count="1">
    <mergeCell ref="B4:K4"/>
  </mergeCells>
  <conditionalFormatting sqref="H6">
    <cfRule type="cellIs" dxfId="0" priority="26" operator="lessThan">
      <formula>10</formula>
    </cfRule>
  </conditionalFormatting>
  <conditionalFormatting sqref="J6">
    <cfRule type="cellIs" dxfId="1" priority="25" operator="lessThan">
      <formula>10</formula>
    </cfRule>
  </conditionalFormatting>
  <conditionalFormatting sqref="H30">
    <cfRule type="cellIs" dxfId="0" priority="24" operator="lessThan">
      <formula>10</formula>
    </cfRule>
  </conditionalFormatting>
  <conditionalFormatting sqref="J30">
    <cfRule type="cellIs" dxfId="1" priority="23" operator="lessThan">
      <formula>10</formula>
    </cfRule>
  </conditionalFormatting>
  <conditionalFormatting sqref="H35">
    <cfRule type="cellIs" dxfId="0" priority="22" operator="lessThan">
      <formula>10</formula>
    </cfRule>
  </conditionalFormatting>
  <conditionalFormatting sqref="J35">
    <cfRule type="cellIs" dxfId="1" priority="21" operator="lessThan">
      <formula>10</formula>
    </cfRule>
  </conditionalFormatting>
  <conditionalFormatting sqref="H41">
    <cfRule type="cellIs" dxfId="0" priority="20" operator="lessThan">
      <formula>10</formula>
    </cfRule>
  </conditionalFormatting>
  <conditionalFormatting sqref="J41">
    <cfRule type="cellIs" dxfId="1" priority="19" operator="lessThan">
      <formula>10</formula>
    </cfRule>
  </conditionalFormatting>
  <conditionalFormatting sqref="H47">
    <cfRule type="cellIs" dxfId="0" priority="18" operator="lessThan">
      <formula>10</formula>
    </cfRule>
  </conditionalFormatting>
  <conditionalFormatting sqref="J47">
    <cfRule type="cellIs" dxfId="1" priority="17" operator="lessThan">
      <formula>10</formula>
    </cfRule>
  </conditionalFormatting>
  <conditionalFormatting sqref="H54">
    <cfRule type="cellIs" dxfId="0" priority="16" operator="lessThan">
      <formula>10</formula>
    </cfRule>
  </conditionalFormatting>
  <conditionalFormatting sqref="J54">
    <cfRule type="cellIs" dxfId="1" priority="15" operator="lessThan">
      <formula>10</formula>
    </cfRule>
  </conditionalFormatting>
  <conditionalFormatting sqref="H61">
    <cfRule type="cellIs" dxfId="0" priority="14" operator="lessThan">
      <formula>10</formula>
    </cfRule>
  </conditionalFormatting>
  <conditionalFormatting sqref="J61">
    <cfRule type="cellIs" dxfId="1" priority="13" operator="lessThan">
      <formula>10</formula>
    </cfRule>
  </conditionalFormatting>
  <conditionalFormatting sqref="H71">
    <cfRule type="cellIs" dxfId="0" priority="12" operator="lessThan">
      <formula>10</formula>
    </cfRule>
  </conditionalFormatting>
  <conditionalFormatting sqref="J71">
    <cfRule type="cellIs" dxfId="1" priority="11" operator="lessThan">
      <formula>10</formula>
    </cfRule>
  </conditionalFormatting>
  <conditionalFormatting sqref="H81">
    <cfRule type="cellIs" dxfId="0" priority="10" operator="lessThan">
      <formula>10</formula>
    </cfRule>
  </conditionalFormatting>
  <conditionalFormatting sqref="J81">
    <cfRule type="cellIs" dxfId="1" priority="9" operator="lessThan">
      <formula>10</formula>
    </cfRule>
  </conditionalFormatting>
  <conditionalFormatting sqref="H90">
    <cfRule type="cellIs" dxfId="0" priority="8" operator="lessThan">
      <formula>10</formula>
    </cfRule>
  </conditionalFormatting>
  <conditionalFormatting sqref="J90">
    <cfRule type="cellIs" dxfId="1" priority="7" operator="lessThan">
      <formula>10</formula>
    </cfRule>
  </conditionalFormatting>
  <conditionalFormatting sqref="H98">
    <cfRule type="cellIs" dxfId="0" priority="6" operator="lessThan">
      <formula>10</formula>
    </cfRule>
  </conditionalFormatting>
  <conditionalFormatting sqref="J98">
    <cfRule type="cellIs" dxfId="1" priority="5" operator="lessThan">
      <formula>10</formula>
    </cfRule>
  </conditionalFormatting>
  <conditionalFormatting sqref="H111">
    <cfRule type="cellIs" dxfId="0" priority="4" operator="lessThan">
      <formula>10</formula>
    </cfRule>
  </conditionalFormatting>
  <conditionalFormatting sqref="J111">
    <cfRule type="cellIs" dxfId="1" priority="3" operator="lessThan">
      <formula>10</formula>
    </cfRule>
  </conditionalFormatting>
  <conditionalFormatting sqref="H123">
    <cfRule type="cellIs" dxfId="0" priority="2" operator="lessThan">
      <formula>10</formula>
    </cfRule>
  </conditionalFormatting>
  <conditionalFormatting sqref="J123">
    <cfRule type="cellIs" dxfId="1" priority="1" operator="lessThan">
      <formula>10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P17"/>
  <sheetViews>
    <sheetView workbookViewId="0">
      <selection activeCell="P17" sqref="P17"/>
    </sheetView>
  </sheetViews>
  <sheetFormatPr defaultColWidth="9" defaultRowHeight="13.5"/>
  <cols>
    <col min="3" max="3" width="12.125" customWidth="1"/>
    <col min="4" max="4" width="11.25" customWidth="1"/>
    <col min="5" max="5" width="11.125" customWidth="1"/>
    <col min="6" max="6" width="12.625" customWidth="1"/>
    <col min="7" max="7" width="14.625" customWidth="1"/>
    <col min="8" max="8" width="12.5" customWidth="1"/>
    <col min="12" max="13" width="9.375"/>
    <col min="15" max="15" width="12.625"/>
    <col min="16" max="16" width="19.375" customWidth="1"/>
  </cols>
  <sheetData>
    <row r="3" spans="2:16">
      <c r="B3" s="1" t="s">
        <v>11</v>
      </c>
      <c r="C3" s="2" t="s">
        <v>12</v>
      </c>
      <c r="D3" s="2"/>
      <c r="E3" s="2"/>
      <c r="F3" s="2"/>
      <c r="G3" s="2" t="s">
        <v>13</v>
      </c>
      <c r="H3" s="2"/>
      <c r="I3" s="2"/>
      <c r="J3" s="2"/>
      <c r="K3" s="2"/>
      <c r="L3" s="2" t="s">
        <v>14</v>
      </c>
      <c r="M3" s="2"/>
      <c r="N3" s="2"/>
      <c r="O3" s="2"/>
      <c r="P3" s="8"/>
    </row>
    <row r="4" ht="17.25" spans="2:16">
      <c r="B4" s="1"/>
      <c r="C4" s="3" t="s">
        <v>7</v>
      </c>
      <c r="D4" s="4" t="s">
        <v>8</v>
      </c>
      <c r="E4" s="5" t="s">
        <v>9</v>
      </c>
      <c r="F4" s="6" t="s">
        <v>10</v>
      </c>
      <c r="G4" s="7" t="s">
        <v>2</v>
      </c>
      <c r="H4" s="7" t="s">
        <v>3</v>
      </c>
      <c r="I4" s="7" t="s">
        <v>4</v>
      </c>
      <c r="J4" s="7" t="s">
        <v>5</v>
      </c>
      <c r="K4" s="7" t="s">
        <v>6</v>
      </c>
      <c r="L4" s="3" t="s">
        <v>7</v>
      </c>
      <c r="M4" s="4" t="s">
        <v>8</v>
      </c>
      <c r="N4" s="5" t="s">
        <v>9</v>
      </c>
      <c r="O4" s="6" t="s">
        <v>10</v>
      </c>
      <c r="P4" s="8" t="s">
        <v>15</v>
      </c>
    </row>
    <row r="5" spans="2:16">
      <c r="B5" s="8">
        <v>1</v>
      </c>
      <c r="C5" s="9">
        <v>70</v>
      </c>
      <c r="D5" s="10">
        <v>2.82</v>
      </c>
      <c r="E5" s="9">
        <v>27</v>
      </c>
      <c r="F5" s="10">
        <v>0.31</v>
      </c>
      <c r="G5" s="9">
        <v>23.47</v>
      </c>
      <c r="H5" s="11">
        <v>2.18</v>
      </c>
      <c r="I5" s="9">
        <v>68.74</v>
      </c>
      <c r="J5" s="9">
        <v>34.07</v>
      </c>
      <c r="K5" s="9">
        <v>35.31</v>
      </c>
      <c r="L5" s="20">
        <v>72</v>
      </c>
      <c r="M5" s="21">
        <v>2.89</v>
      </c>
      <c r="N5" s="22">
        <v>27</v>
      </c>
      <c r="O5" s="1">
        <v>0.31</v>
      </c>
      <c r="P5" s="23">
        <f>(ABS(C5-L5)/C5+ABS(D5-M5)/D5+ABS(E5-N5)/E5+ABS(O5-F5)/F5)/4</f>
        <v>0.0133485309017224</v>
      </c>
    </row>
    <row r="6" spans="2:16">
      <c r="B6" s="8">
        <v>2</v>
      </c>
      <c r="C6" s="9">
        <v>32</v>
      </c>
      <c r="D6" s="10">
        <v>0.78</v>
      </c>
      <c r="E6" s="9">
        <v>44</v>
      </c>
      <c r="F6" s="10">
        <v>0.4</v>
      </c>
      <c r="G6" s="9">
        <v>53.7</v>
      </c>
      <c r="H6" s="11">
        <v>3</v>
      </c>
      <c r="I6" s="9">
        <v>23.8</v>
      </c>
      <c r="J6" s="9">
        <v>22.43</v>
      </c>
      <c r="K6" s="9">
        <v>54.3</v>
      </c>
      <c r="L6" s="20">
        <v>34</v>
      </c>
      <c r="M6" s="21">
        <v>0.79</v>
      </c>
      <c r="N6" s="22">
        <v>44</v>
      </c>
      <c r="O6" s="1">
        <v>0.39</v>
      </c>
      <c r="P6" s="23">
        <f t="shared" ref="P6:P16" si="0">(ABS(C6-L6)/C6+ABS(D6-M6)/D6+ABS(E6-N6)/E6+ABS(O6-F6)/F6)/4</f>
        <v>0.0250801282051282</v>
      </c>
    </row>
    <row r="7" spans="2:16">
      <c r="B7" s="8">
        <v>3</v>
      </c>
      <c r="C7" s="9">
        <v>35</v>
      </c>
      <c r="D7" s="10">
        <v>0.65</v>
      </c>
      <c r="E7" s="9">
        <v>56</v>
      </c>
      <c r="F7" s="10">
        <v>0.25</v>
      </c>
      <c r="G7" s="9">
        <v>72</v>
      </c>
      <c r="H7" s="11">
        <v>1.4</v>
      </c>
      <c r="I7" s="9">
        <v>60</v>
      </c>
      <c r="J7" s="9">
        <v>19</v>
      </c>
      <c r="K7" s="9">
        <v>54</v>
      </c>
      <c r="L7" s="20">
        <v>34</v>
      </c>
      <c r="M7" s="21">
        <v>0.63</v>
      </c>
      <c r="N7" s="22">
        <v>55</v>
      </c>
      <c r="O7" s="1">
        <v>0.25</v>
      </c>
      <c r="P7" s="23">
        <f t="shared" si="0"/>
        <v>0.0192994505494506</v>
      </c>
    </row>
    <row r="8" spans="2:16">
      <c r="B8" s="8">
        <v>4</v>
      </c>
      <c r="C8" s="9">
        <v>35</v>
      </c>
      <c r="D8" s="10">
        <v>0.99</v>
      </c>
      <c r="E8" s="9">
        <v>38</v>
      </c>
      <c r="F8" s="10">
        <v>0.32</v>
      </c>
      <c r="G8" s="9">
        <v>37</v>
      </c>
      <c r="H8" s="11">
        <v>2</v>
      </c>
      <c r="I8" s="9">
        <v>41</v>
      </c>
      <c r="J8" s="9">
        <v>16</v>
      </c>
      <c r="K8" s="9">
        <v>44</v>
      </c>
      <c r="L8" s="20">
        <v>33</v>
      </c>
      <c r="M8" s="21">
        <v>0.94</v>
      </c>
      <c r="N8" s="22">
        <v>38</v>
      </c>
      <c r="O8" s="1">
        <v>0.32</v>
      </c>
      <c r="P8" s="23">
        <f t="shared" si="0"/>
        <v>0.0269119769119769</v>
      </c>
    </row>
    <row r="9" spans="2:16">
      <c r="B9" s="8">
        <v>5</v>
      </c>
      <c r="C9" s="9">
        <v>45</v>
      </c>
      <c r="D9" s="10">
        <v>1.29</v>
      </c>
      <c r="E9" s="9">
        <v>39</v>
      </c>
      <c r="F9" s="10">
        <v>0.39</v>
      </c>
      <c r="G9" s="9">
        <v>43</v>
      </c>
      <c r="H9" s="11">
        <v>3</v>
      </c>
      <c r="I9" s="9">
        <v>58</v>
      </c>
      <c r="J9" s="9">
        <v>22</v>
      </c>
      <c r="K9" s="9">
        <v>43</v>
      </c>
      <c r="L9" s="20">
        <v>47</v>
      </c>
      <c r="M9" s="21">
        <v>1.37</v>
      </c>
      <c r="N9" s="22">
        <v>39</v>
      </c>
      <c r="O9" s="1">
        <v>0.38</v>
      </c>
      <c r="P9" s="23">
        <f t="shared" si="0"/>
        <v>0.0330252434903598</v>
      </c>
    </row>
    <row r="10" spans="2:16">
      <c r="B10" s="8">
        <v>6</v>
      </c>
      <c r="C10" s="9">
        <v>39</v>
      </c>
      <c r="D10" s="10">
        <v>0.84</v>
      </c>
      <c r="E10" s="9">
        <v>53</v>
      </c>
      <c r="F10" s="10">
        <v>0.31</v>
      </c>
      <c r="G10" s="9">
        <v>68</v>
      </c>
      <c r="H10" s="11">
        <v>1.8</v>
      </c>
      <c r="I10" s="9">
        <v>58</v>
      </c>
      <c r="J10" s="9">
        <v>19</v>
      </c>
      <c r="K10" s="9">
        <v>37</v>
      </c>
      <c r="L10" s="20">
        <v>39</v>
      </c>
      <c r="M10" s="21">
        <v>0.83</v>
      </c>
      <c r="N10" s="22">
        <v>54</v>
      </c>
      <c r="O10" s="1">
        <v>0.29</v>
      </c>
      <c r="P10" s="23">
        <f t="shared" si="0"/>
        <v>0.0238222038663305</v>
      </c>
    </row>
    <row r="11" spans="2:16">
      <c r="B11" s="8">
        <v>7</v>
      </c>
      <c r="C11" s="9">
        <v>51</v>
      </c>
      <c r="D11" s="10">
        <v>1.46678598928221</v>
      </c>
      <c r="E11" s="9">
        <v>40</v>
      </c>
      <c r="F11" s="10">
        <v>0.29</v>
      </c>
      <c r="G11" s="9">
        <v>40</v>
      </c>
      <c r="H11" s="11">
        <v>1.8</v>
      </c>
      <c r="I11" s="9">
        <v>68</v>
      </c>
      <c r="J11" s="9">
        <v>24</v>
      </c>
      <c r="K11" s="9">
        <v>24</v>
      </c>
      <c r="L11" s="20">
        <v>51</v>
      </c>
      <c r="M11" s="21">
        <v>1.49</v>
      </c>
      <c r="N11" s="22">
        <v>40</v>
      </c>
      <c r="O11" s="1">
        <v>0.28</v>
      </c>
      <c r="P11" s="23">
        <f t="shared" si="0"/>
        <v>0.0125773014048439</v>
      </c>
    </row>
    <row r="12" spans="2:16">
      <c r="B12" s="8">
        <v>8</v>
      </c>
      <c r="C12" s="9">
        <v>54.3502301910047</v>
      </c>
      <c r="D12" s="10">
        <v>2.2451284120291</v>
      </c>
      <c r="E12" s="9">
        <v>28</v>
      </c>
      <c r="F12" s="10">
        <v>0.31</v>
      </c>
      <c r="G12" s="9">
        <v>24</v>
      </c>
      <c r="H12" s="11">
        <v>2.1</v>
      </c>
      <c r="I12" s="9">
        <v>68</v>
      </c>
      <c r="J12" s="9">
        <v>26</v>
      </c>
      <c r="K12" s="9">
        <v>19</v>
      </c>
      <c r="L12" s="20">
        <v>56</v>
      </c>
      <c r="M12" s="21">
        <v>2.3</v>
      </c>
      <c r="N12" s="22">
        <v>28</v>
      </c>
      <c r="O12" s="1">
        <v>0.31</v>
      </c>
      <c r="P12" s="23">
        <f t="shared" si="0"/>
        <v>0.0136986777677795</v>
      </c>
    </row>
    <row r="13" spans="2:16">
      <c r="B13" s="8">
        <v>9</v>
      </c>
      <c r="C13" s="12">
        <v>45</v>
      </c>
      <c r="D13" s="13">
        <v>1.61</v>
      </c>
      <c r="E13" s="12">
        <v>29</v>
      </c>
      <c r="F13" s="13">
        <v>0.38</v>
      </c>
      <c r="G13" s="9">
        <v>29</v>
      </c>
      <c r="H13" s="11">
        <v>3</v>
      </c>
      <c r="I13" s="9">
        <v>52</v>
      </c>
      <c r="J13" s="9">
        <v>23</v>
      </c>
      <c r="K13" s="9">
        <v>51</v>
      </c>
      <c r="L13" s="24">
        <v>41</v>
      </c>
      <c r="M13" s="25">
        <v>1.43</v>
      </c>
      <c r="N13" s="1">
        <v>30</v>
      </c>
      <c r="O13" s="1">
        <v>0.39</v>
      </c>
      <c r="P13" s="23">
        <f t="shared" si="0"/>
        <v>0.0653721698048219</v>
      </c>
    </row>
    <row r="14" spans="2:16">
      <c r="B14" s="8">
        <v>10</v>
      </c>
      <c r="C14" s="12">
        <v>33</v>
      </c>
      <c r="D14" s="13">
        <v>0.78</v>
      </c>
      <c r="E14" s="12">
        <v>43</v>
      </c>
      <c r="F14" s="13">
        <v>0.18</v>
      </c>
      <c r="G14" s="9">
        <v>41</v>
      </c>
      <c r="H14" s="11">
        <v>1</v>
      </c>
      <c r="I14" s="9">
        <v>19</v>
      </c>
      <c r="J14" s="9">
        <v>24</v>
      </c>
      <c r="K14" s="9">
        <v>55</v>
      </c>
      <c r="L14" s="24">
        <v>35</v>
      </c>
      <c r="M14" s="25">
        <v>0.83</v>
      </c>
      <c r="N14" s="1">
        <v>43</v>
      </c>
      <c r="O14" s="1">
        <v>0.18</v>
      </c>
      <c r="P14" s="23">
        <f t="shared" si="0"/>
        <v>0.0311771561771562</v>
      </c>
    </row>
    <row r="15" spans="2:16">
      <c r="B15" s="8">
        <v>11</v>
      </c>
      <c r="C15" s="12">
        <v>42</v>
      </c>
      <c r="D15" s="13">
        <v>2</v>
      </c>
      <c r="E15" s="12">
        <v>24</v>
      </c>
      <c r="F15" s="13">
        <v>0.28</v>
      </c>
      <c r="G15" s="9">
        <v>18</v>
      </c>
      <c r="H15" s="11">
        <v>1.7</v>
      </c>
      <c r="I15" s="9">
        <v>74</v>
      </c>
      <c r="J15" s="9">
        <v>21</v>
      </c>
      <c r="K15" s="9">
        <v>57</v>
      </c>
      <c r="L15" s="24">
        <v>39</v>
      </c>
      <c r="M15" s="25">
        <v>1.83</v>
      </c>
      <c r="N15" s="1">
        <v>23</v>
      </c>
      <c r="O15" s="1">
        <v>0.28</v>
      </c>
      <c r="P15" s="23">
        <f t="shared" si="0"/>
        <v>0.0495238095238095</v>
      </c>
    </row>
    <row r="16" spans="2:16">
      <c r="B16" s="8">
        <v>12</v>
      </c>
      <c r="C16" s="12">
        <v>28</v>
      </c>
      <c r="D16" s="13">
        <v>1.22</v>
      </c>
      <c r="E16" s="12">
        <v>24</v>
      </c>
      <c r="F16" s="13">
        <v>0.24</v>
      </c>
      <c r="G16" s="9">
        <v>17</v>
      </c>
      <c r="H16" s="11">
        <v>1.3</v>
      </c>
      <c r="I16" s="9">
        <v>20</v>
      </c>
      <c r="J16" s="9">
        <v>17</v>
      </c>
      <c r="K16" s="9">
        <v>54</v>
      </c>
      <c r="L16" s="24">
        <v>27</v>
      </c>
      <c r="M16" s="25">
        <v>1.16</v>
      </c>
      <c r="N16" s="1">
        <v>24</v>
      </c>
      <c r="O16" s="1">
        <v>0.24</v>
      </c>
      <c r="P16" s="23">
        <f t="shared" si="0"/>
        <v>0.0212236533957846</v>
      </c>
    </row>
    <row r="17" spans="2:16">
      <c r="B17" s="14" t="s">
        <v>16</v>
      </c>
      <c r="C17" s="15">
        <v>39.69605</v>
      </c>
      <c r="D17" s="16">
        <v>4.33693</v>
      </c>
      <c r="E17" s="17">
        <v>10</v>
      </c>
      <c r="F17" s="18">
        <v>0.18</v>
      </c>
      <c r="G17" s="19">
        <v>5</v>
      </c>
      <c r="H17" s="19">
        <v>1</v>
      </c>
      <c r="I17" s="19">
        <v>41</v>
      </c>
      <c r="J17" s="19">
        <v>29</v>
      </c>
      <c r="K17" s="19">
        <v>71</v>
      </c>
      <c r="L17" s="26">
        <v>40</v>
      </c>
      <c r="M17" s="27">
        <v>4.7</v>
      </c>
      <c r="N17" s="28">
        <v>9</v>
      </c>
      <c r="O17" s="29">
        <v>0.18</v>
      </c>
      <c r="P17" s="30">
        <f>(ABS(D17-M17)/D17+ABS(E17-N17)/E17)/4</f>
        <v>0.0459289751045094</v>
      </c>
    </row>
  </sheetData>
  <mergeCells count="4">
    <mergeCell ref="C3:F3"/>
    <mergeCell ref="G3:K3"/>
    <mergeCell ref="L3:O3"/>
    <mergeCell ref="B3:B4"/>
  </mergeCells>
  <conditionalFormatting sqref="C4">
    <cfRule type="cellIs" dxfId="0" priority="4" operator="lessThan">
      <formula>10</formula>
    </cfRule>
  </conditionalFormatting>
  <conditionalFormatting sqref="E4">
    <cfRule type="cellIs" dxfId="1" priority="3" operator="lessThan">
      <formula>10</formula>
    </cfRule>
  </conditionalFormatting>
  <conditionalFormatting sqref="L4">
    <cfRule type="cellIs" dxfId="0" priority="2" operator="lessThan">
      <formula>10</formula>
    </cfRule>
  </conditionalFormatting>
  <conditionalFormatting sqref="N4">
    <cfRule type="cellIs" dxfId="1" priority="1" operator="lessThan">
      <formula>10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ns0:Properties xmlns:ns0="http://schemas.openxmlformats.org/officeDocument/2006/custom-properties"/>
</file>